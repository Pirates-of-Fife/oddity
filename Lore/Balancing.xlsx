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R:\GitHub\oddity\Lore\"/>
    </mc:Choice>
  </mc:AlternateContent>
  <xr:revisionPtr revIDLastSave="0" documentId="13_ncr:1_{2916FD74-7296-4430-BD32-29472CFC6548}" xr6:coauthVersionLast="47" xr6:coauthVersionMax="47" xr10:uidLastSave="{00000000-0000-0000-0000-000000000000}"/>
  <bookViews>
    <workbookView xWindow="28680" yWindow="-120" windowWidth="29040" windowHeight="15720" xr2:uid="{4F789B8D-596C-4792-89D3-5F377BEC4ED9}"/>
  </bookViews>
  <sheets>
    <sheet name="Sheet1" sheetId="1" r:id="rId1"/>
  </sheets>
  <definedNames>
    <definedName name="_xlnm._FilterDatabase" localSheetId="0" hidden="1">Sheet1!$A$1:$S$21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6" i="1" l="1"/>
  <c r="J27" i="1"/>
  <c r="J28" i="1"/>
  <c r="J29" i="1"/>
  <c r="J30" i="1"/>
  <c r="J31" i="1"/>
  <c r="J32" i="1"/>
  <c r="J25" i="1"/>
  <c r="B28" i="1"/>
  <c r="B27" i="1"/>
  <c r="I27" i="1" s="1"/>
  <c r="B26" i="1"/>
  <c r="B30" i="1"/>
  <c r="B31" i="1"/>
  <c r="B32" i="1" s="1"/>
  <c r="I32" i="1" s="1"/>
  <c r="I26" i="1"/>
  <c r="I28" i="1"/>
  <c r="I29" i="1"/>
  <c r="I30" i="1"/>
  <c r="I31" i="1"/>
  <c r="I25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20" i="1"/>
  <c r="Q19" i="1"/>
  <c r="Q17" i="1"/>
  <c r="Q18" i="1"/>
  <c r="Q21" i="1"/>
  <c r="Q2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20" i="1"/>
  <c r="P19" i="1"/>
  <c r="P17" i="1"/>
  <c r="P18" i="1"/>
  <c r="P21" i="1"/>
  <c r="P16" i="1"/>
  <c r="N13" i="1"/>
  <c r="O13" i="1"/>
  <c r="R13" i="1"/>
  <c r="S13" i="1"/>
  <c r="T13" i="1" s="1"/>
  <c r="N15" i="1"/>
  <c r="O15" i="1"/>
  <c r="R15" i="1"/>
  <c r="S15" i="1"/>
  <c r="T15" i="1" s="1"/>
  <c r="R19" i="1"/>
  <c r="R6" i="1"/>
  <c r="N6" i="1"/>
  <c r="O6" i="1"/>
  <c r="R4" i="1"/>
  <c r="O4" i="1"/>
  <c r="N4" i="1"/>
  <c r="R20" i="1"/>
  <c r="S20" i="1"/>
  <c r="R9" i="1"/>
  <c r="S9" i="1"/>
  <c r="T9" i="1" s="1"/>
  <c r="R14" i="1"/>
  <c r="S14" i="1"/>
  <c r="R11" i="1"/>
  <c r="S11" i="1"/>
  <c r="T11" i="1" s="1"/>
  <c r="R16" i="1"/>
  <c r="S16" i="1"/>
  <c r="R2" i="1"/>
  <c r="S2" i="1"/>
  <c r="R3" i="1"/>
  <c r="S3" i="1"/>
  <c r="R7" i="1"/>
  <c r="S7" i="1"/>
  <c r="R10" i="1"/>
  <c r="S10" i="1"/>
  <c r="R12" i="1"/>
  <c r="S12" i="1"/>
  <c r="R21" i="1"/>
  <c r="S21" i="1"/>
  <c r="T21" i="1" s="1"/>
  <c r="S4" i="1"/>
  <c r="T4" i="1" s="1"/>
  <c r="S6" i="1"/>
  <c r="R17" i="1"/>
  <c r="S17" i="1"/>
  <c r="R18" i="1"/>
  <c r="S18" i="1"/>
  <c r="R5" i="1"/>
  <c r="S5" i="1"/>
  <c r="T5" i="1" s="1"/>
  <c r="R8" i="1"/>
  <c r="S8" i="1"/>
  <c r="T8" i="1" s="1"/>
  <c r="S19" i="1"/>
  <c r="T18" i="1" s="1"/>
  <c r="N20" i="1"/>
  <c r="O20" i="1"/>
  <c r="N9" i="1"/>
  <c r="O9" i="1"/>
  <c r="N14" i="1"/>
  <c r="O14" i="1"/>
  <c r="N11" i="1"/>
  <c r="O11" i="1"/>
  <c r="N16" i="1"/>
  <c r="O16" i="1"/>
  <c r="N2" i="1"/>
  <c r="O2" i="1"/>
  <c r="N3" i="1"/>
  <c r="O3" i="1"/>
  <c r="N7" i="1"/>
  <c r="O7" i="1"/>
  <c r="N10" i="1"/>
  <c r="O10" i="1"/>
  <c r="N12" i="1"/>
  <c r="O12" i="1"/>
  <c r="N21" i="1"/>
  <c r="O21" i="1"/>
  <c r="N17" i="1"/>
  <c r="O17" i="1"/>
  <c r="N18" i="1"/>
  <c r="O18" i="1"/>
  <c r="N5" i="1"/>
  <c r="O5" i="1"/>
  <c r="N8" i="1"/>
  <c r="O8" i="1"/>
  <c r="N19" i="1"/>
  <c r="O19" i="1"/>
  <c r="T19" i="1" l="1"/>
  <c r="T6" i="1"/>
  <c r="T14" i="1"/>
  <c r="T17" i="1"/>
  <c r="T20" i="1"/>
  <c r="T12" i="1"/>
  <c r="T10" i="1"/>
  <c r="T7" i="1"/>
  <c r="T16" i="1"/>
  <c r="T2" i="1"/>
  <c r="T3" i="1"/>
</calcChain>
</file>

<file path=xl/sharedStrings.xml><?xml version="1.0" encoding="utf-8"?>
<sst xmlns="http://schemas.openxmlformats.org/spreadsheetml/2006/main" count="61" uniqueCount="61">
  <si>
    <t>Weapon Name</t>
  </si>
  <si>
    <t>Hull Damage</t>
  </si>
  <si>
    <t>Shield Damage</t>
  </si>
  <si>
    <t>Projectile Speed</t>
  </si>
  <si>
    <t>Cooldown</t>
  </si>
  <si>
    <t>Ammo Usage</t>
  </si>
  <si>
    <t>Heat Generation</t>
  </si>
  <si>
    <t>Beam Distance</t>
  </si>
  <si>
    <t>Mining Efficiency</t>
  </si>
  <si>
    <t>Pulse Time</t>
  </si>
  <si>
    <t>Ares Blast-5</t>
  </si>
  <si>
    <t>Ares Blast-6</t>
  </si>
  <si>
    <t>R.E.A.L. 5-B15MW</t>
  </si>
  <si>
    <t>R.E.A.L. 6-B35MW</t>
  </si>
  <si>
    <t>Ares Rock Hunter 5</t>
  </si>
  <si>
    <t>Ares Rock Hunter 6</t>
  </si>
  <si>
    <t>Plasma Accelerator 5</t>
  </si>
  <si>
    <t>Plasma Accelerator 6</t>
  </si>
  <si>
    <t>PRTN Rail 5</t>
  </si>
  <si>
    <t>PRTN Rail 6</t>
  </si>
  <si>
    <t>Hull DPS</t>
  </si>
  <si>
    <t>Shield DPS</t>
  </si>
  <si>
    <t>R.E.A.L. 5-P35MW</t>
  </si>
  <si>
    <t>R.E.A.L. 6-P50MW</t>
  </si>
  <si>
    <t>Secondary Hull Damage</t>
  </si>
  <si>
    <t>Secondary Shield Damage</t>
  </si>
  <si>
    <t>Projectiles Per Shot</t>
  </si>
  <si>
    <t>Ox'vic Dread 5</t>
  </si>
  <si>
    <t>Ox'vic Dread 6</t>
  </si>
  <si>
    <t>Heat Per Second</t>
  </si>
  <si>
    <t>Ammo Per Second</t>
  </si>
  <si>
    <t>Ox'vic FU-5</t>
  </si>
  <si>
    <t>Ox'vic FU-6</t>
  </si>
  <si>
    <t>Cheetah Cannon 6</t>
  </si>
  <si>
    <t>Cheetah Cannon 5</t>
  </si>
  <si>
    <t>Amor Aeternus 6</t>
  </si>
  <si>
    <t>Amor Aeternus 5</t>
  </si>
  <si>
    <t>2# SDPS</t>
  </si>
  <si>
    <t>2# HDPS</t>
  </si>
  <si>
    <t>Ammo Time</t>
  </si>
  <si>
    <t>Shield Name</t>
  </si>
  <si>
    <t>Shield Health</t>
  </si>
  <si>
    <t>Charge Rate</t>
  </si>
  <si>
    <t>Cooldown Hit</t>
  </si>
  <si>
    <t>Cooldown Break</t>
  </si>
  <si>
    <t>Time per Charge</t>
  </si>
  <si>
    <t>Heat per Charge</t>
  </si>
  <si>
    <t>Heat per Recharge</t>
  </si>
  <si>
    <t>Time to Charge</t>
  </si>
  <si>
    <t>Aeroguard 1</t>
  </si>
  <si>
    <t>Aeroguard 2</t>
  </si>
  <si>
    <t>Aeroguard 3</t>
  </si>
  <si>
    <t>Aeroguard 4</t>
  </si>
  <si>
    <t>ProtecTec 1</t>
  </si>
  <si>
    <t>ProtecTec 2</t>
  </si>
  <si>
    <t>ProtecTec 3</t>
  </si>
  <si>
    <t>ProtecTec 4</t>
  </si>
  <si>
    <t>TTK Hull</t>
  </si>
  <si>
    <t>TTK Shield</t>
  </si>
  <si>
    <t>TTK</t>
  </si>
  <si>
    <t>Heat Per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</si>
</sst>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\ &quot;min&quot;"/>
    <numFmt numFmtId="168" formatCode="0.00\ &quot;s&quot;"/>
  </numFmts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Determination Mono"/>
      <family val="3"/>
    </font>
    <font>
      <b/>
      <sz val="11"/>
      <color theme="1"/>
      <name val="Determination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/>
    <xf numFmtId="2" fontId="2" fillId="0" borderId="0" xfId="0" applyNumberFormat="1" applyFont="1"/>
    <xf numFmtId="1" fontId="2" fillId="0" borderId="0" xfId="0" applyNumberFormat="1" applyFont="1"/>
    <xf numFmtId="164" fontId="2" fillId="0" borderId="0" xfId="0" applyNumberFormat="1" applyFont="1" applyAlignment="1">
      <alignment horizontal="right"/>
    </xf>
    <xf numFmtId="168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92791-92EF-4F0F-8FA6-03864FE89AC9}">
  <dimension ref="A1:W32"/>
  <sheetViews>
    <sheetView tabSelected="1" topLeftCell="A4" workbookViewId="0">
      <selection activeCell="J34" sqref="J34"/>
    </sheetView>
  </sheetViews>
  <sheetFormatPr defaultRowHeight="15" x14ac:dyDescent="0.25"/>
  <cols>
    <col min="1" max="1" width="27.5703125" bestFit="1" customWidth="1"/>
    <col min="2" max="2" width="14.7109375" bestFit="1" customWidth="1"/>
    <col min="3" max="3" width="16.7109375" bestFit="1" customWidth="1"/>
    <col min="4" max="4" width="16.7109375" customWidth="1"/>
    <col min="5" max="5" width="12.28515625" bestFit="1" customWidth="1"/>
    <col min="6" max="6" width="15" bestFit="1" customWidth="1"/>
    <col min="7" max="7" width="17.7109375" bestFit="1" customWidth="1"/>
    <col min="8" max="8" width="16.7109375" bestFit="1" customWidth="1"/>
    <col min="9" max="9" width="11.7109375" customWidth="1"/>
    <col min="10" max="10" width="9.28515625" bestFit="1" customWidth="1"/>
    <col min="11" max="11" width="6.5703125" customWidth="1"/>
    <col min="12" max="12" width="6.42578125" customWidth="1"/>
    <col min="13" max="13" width="6" customWidth="1"/>
    <col min="14" max="15" width="11.5703125" bestFit="1" customWidth="1"/>
    <col min="16" max="16" width="8" customWidth="1"/>
    <col min="17" max="17" width="10.140625" customWidth="1"/>
    <col min="18" max="18" width="10.28515625" bestFit="1" customWidth="1"/>
    <col min="19" max="19" width="10.7109375" customWidth="1"/>
    <col min="20" max="20" width="12.85546875" bestFit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24</v>
      </c>
      <c r="L1" s="1" t="s">
        <v>25</v>
      </c>
      <c r="M1" s="1" t="s">
        <v>26</v>
      </c>
      <c r="N1" s="1" t="s">
        <v>20</v>
      </c>
      <c r="O1" s="1" t="s">
        <v>21</v>
      </c>
      <c r="P1" s="1" t="s">
        <v>38</v>
      </c>
      <c r="Q1" s="1" t="s">
        <v>37</v>
      </c>
      <c r="R1" s="1" t="s">
        <v>29</v>
      </c>
      <c r="S1" s="1" t="s">
        <v>30</v>
      </c>
      <c r="T1" s="1" t="s">
        <v>39</v>
      </c>
      <c r="U1" s="1" t="s">
        <v>57</v>
      </c>
      <c r="V1" s="1" t="s">
        <v>58</v>
      </c>
      <c r="W1" s="1" t="s">
        <v>59</v>
      </c>
    </row>
    <row r="2" spans="1:23" x14ac:dyDescent="0.25">
      <c r="A2" s="1" t="s">
        <v>14</v>
      </c>
      <c r="B2" s="3">
        <v>100</v>
      </c>
      <c r="C2" s="3">
        <v>500</v>
      </c>
      <c r="D2" s="3">
        <v>0</v>
      </c>
      <c r="E2" s="2">
        <v>1</v>
      </c>
      <c r="F2" s="3">
        <v>0</v>
      </c>
      <c r="G2" s="3">
        <v>500</v>
      </c>
      <c r="H2" s="3">
        <v>3000</v>
      </c>
      <c r="I2" s="3">
        <v>200</v>
      </c>
      <c r="J2" s="2">
        <v>0</v>
      </c>
      <c r="K2" s="3">
        <v>0</v>
      </c>
      <c r="L2" s="3">
        <v>0</v>
      </c>
      <c r="M2" s="3">
        <v>0</v>
      </c>
      <c r="N2" s="3">
        <f>B2*(1/(E2+J2))</f>
        <v>100</v>
      </c>
      <c r="O2" s="3">
        <f>C2*(1/(E2+J2))</f>
        <v>500</v>
      </c>
      <c r="P2" s="3" t="str">
        <f>IF(K2*(1/(E2+J2))*M2=0,"N/A",K2*(1/(E2+J2))*M2)</f>
        <v>N/A</v>
      </c>
      <c r="Q2" s="3" t="str">
        <f>IF(L2*(1/(E2+J2))*M2=0,"N/A",L2*(1/(E2+J2))*M2)</f>
        <v>N/A</v>
      </c>
      <c r="R2" s="3">
        <f>G2*(1/(E2+J2))</f>
        <v>500</v>
      </c>
      <c r="S2" s="3">
        <f>F2*(1/(E2+J2))</f>
        <v>0</v>
      </c>
      <c r="T2" s="4" t="str">
        <f>IF(S2=0,"INF",10800/S2/60)</f>
        <v>INF</v>
      </c>
    </row>
    <row r="3" spans="1:23" x14ac:dyDescent="0.25">
      <c r="A3" s="1" t="s">
        <v>15</v>
      </c>
      <c r="B3" s="3">
        <v>200</v>
      </c>
      <c r="C3" s="3">
        <v>1000</v>
      </c>
      <c r="D3" s="3">
        <v>0</v>
      </c>
      <c r="E3" s="2">
        <v>1</v>
      </c>
      <c r="F3" s="3">
        <v>0</v>
      </c>
      <c r="G3" s="3">
        <v>1000</v>
      </c>
      <c r="H3" s="3">
        <v>3000</v>
      </c>
      <c r="I3" s="3">
        <v>600</v>
      </c>
      <c r="J3" s="2">
        <v>0</v>
      </c>
      <c r="K3" s="3">
        <v>0</v>
      </c>
      <c r="L3" s="3">
        <v>0</v>
      </c>
      <c r="M3" s="3">
        <v>0</v>
      </c>
      <c r="N3" s="3">
        <f>B3*(1/(E3+J3))</f>
        <v>200</v>
      </c>
      <c r="O3" s="3">
        <f>C3*(1/(E3+J3))</f>
        <v>1000</v>
      </c>
      <c r="P3" s="3" t="str">
        <f>IF(K3*(1/(E3+J3))*M3=0,"N/A",K3*(1/(E3+J3))*M3)</f>
        <v>N/A</v>
      </c>
      <c r="Q3" s="3" t="str">
        <f>IF(L3*(1/(E3+J3))*M3=0,"N/A",L3*(1/(E3+J3))*M3)</f>
        <v>N/A</v>
      </c>
      <c r="R3" s="3">
        <f>G3*(1/(E3+J3))</f>
        <v>1000</v>
      </c>
      <c r="S3" s="3">
        <f>F3*(1/(E3+J3))</f>
        <v>0</v>
      </c>
      <c r="T3" s="4" t="str">
        <f t="shared" ref="T3:T21" si="0">IF(S3=0,"INF",10800/S3/60)</f>
        <v>INF</v>
      </c>
    </row>
    <row r="4" spans="1:23" x14ac:dyDescent="0.25">
      <c r="A4" s="1" t="s">
        <v>22</v>
      </c>
      <c r="B4" s="3">
        <v>10</v>
      </c>
      <c r="C4" s="3">
        <v>30</v>
      </c>
      <c r="D4" s="3">
        <v>0</v>
      </c>
      <c r="E4" s="2">
        <v>0.2</v>
      </c>
      <c r="F4" s="3">
        <v>0</v>
      </c>
      <c r="G4" s="3">
        <v>2000</v>
      </c>
      <c r="H4" s="3">
        <v>2000</v>
      </c>
      <c r="I4" s="3">
        <v>0</v>
      </c>
      <c r="J4" s="2">
        <v>0.2</v>
      </c>
      <c r="K4" s="3">
        <v>0</v>
      </c>
      <c r="L4" s="3">
        <v>0</v>
      </c>
      <c r="M4" s="3">
        <v>0</v>
      </c>
      <c r="N4" s="3">
        <f>B4*J4*100 * 1/(E4+J4)</f>
        <v>500</v>
      </c>
      <c r="O4" s="3">
        <f>C4*J4*100 * 1/(E4+J4)</f>
        <v>1500</v>
      </c>
      <c r="P4" s="3" t="str">
        <f>IF(K4*(1/(E4+J4))*M4=0,"N/A",K4*(1/(E4+J4))*M4)</f>
        <v>N/A</v>
      </c>
      <c r="Q4" s="3" t="str">
        <f>IF(L4*(1/(E4+J4))*M4=0,"N/A",L4*(1/(E4+J4))*M4)</f>
        <v>N/A</v>
      </c>
      <c r="R4" s="3">
        <f>G4*J4 * 1/(E4+J4)</f>
        <v>1000</v>
      </c>
      <c r="S4" s="3">
        <f>F4*(1/(E4+J4))</f>
        <v>0</v>
      </c>
      <c r="T4" s="4" t="str">
        <f t="shared" si="0"/>
        <v>INF</v>
      </c>
    </row>
    <row r="5" spans="1:23" x14ac:dyDescent="0.25">
      <c r="A5" s="1" t="s">
        <v>27</v>
      </c>
      <c r="B5" s="3">
        <v>500</v>
      </c>
      <c r="C5" s="3">
        <v>800</v>
      </c>
      <c r="D5" s="3">
        <v>1000</v>
      </c>
      <c r="E5" s="2">
        <v>0.3</v>
      </c>
      <c r="F5" s="3">
        <v>0</v>
      </c>
      <c r="G5" s="3">
        <v>80</v>
      </c>
      <c r="H5" s="3">
        <v>0</v>
      </c>
      <c r="I5" s="3">
        <v>0</v>
      </c>
      <c r="J5" s="2">
        <v>0</v>
      </c>
      <c r="K5" s="3">
        <v>0</v>
      </c>
      <c r="L5" s="3">
        <v>0</v>
      </c>
      <c r="M5" s="3">
        <v>1</v>
      </c>
      <c r="N5" s="3">
        <f>B5*(1/(E5+J5))</f>
        <v>1666.6666666666667</v>
      </c>
      <c r="O5" s="3">
        <f>C5*(1/(E5+J5))</f>
        <v>2666.666666666667</v>
      </c>
      <c r="P5" s="3" t="str">
        <f>IF(K5*(1/(E5+J5))*M5=0,"N/A",K5*(1/(E5+J5))*M5)</f>
        <v>N/A</v>
      </c>
      <c r="Q5" s="3" t="str">
        <f>IF(L5*(1/(E5+J5))*M5=0,"N/A",L5*(1/(E5+J5))*M5)</f>
        <v>N/A</v>
      </c>
      <c r="R5" s="3">
        <f>G5*(1/(E5+J5))</f>
        <v>266.66666666666669</v>
      </c>
      <c r="S5" s="3">
        <f>F5*(1/(E5+J5))</f>
        <v>0</v>
      </c>
      <c r="T5" s="4" t="str">
        <f t="shared" si="0"/>
        <v>INF</v>
      </c>
    </row>
    <row r="6" spans="1:23" x14ac:dyDescent="0.25">
      <c r="A6" s="1" t="s">
        <v>23</v>
      </c>
      <c r="B6" s="3">
        <v>30</v>
      </c>
      <c r="C6" s="3">
        <v>50</v>
      </c>
      <c r="D6" s="3"/>
      <c r="E6" s="2">
        <v>0.1</v>
      </c>
      <c r="F6" s="3">
        <v>0</v>
      </c>
      <c r="G6" s="3">
        <v>3000</v>
      </c>
      <c r="H6" s="3">
        <v>2500</v>
      </c>
      <c r="I6" s="3">
        <v>0</v>
      </c>
      <c r="J6" s="2">
        <v>0.2</v>
      </c>
      <c r="K6" s="3">
        <v>0</v>
      </c>
      <c r="L6" s="3">
        <v>0</v>
      </c>
      <c r="M6" s="3">
        <v>0</v>
      </c>
      <c r="N6" s="3">
        <f>B6*J6*100 * 1/(E6+J6)</f>
        <v>1999.9999999999998</v>
      </c>
      <c r="O6" s="3">
        <f>C6*J6*100 * 1/(E6+J6)</f>
        <v>3333.333333333333</v>
      </c>
      <c r="P6" s="3" t="str">
        <f>IF(K6*(1/(E6+J6))*M6=0,"N/A",K6*(1/(E6+J6))*M6)</f>
        <v>N/A</v>
      </c>
      <c r="Q6" s="3" t="str">
        <f>IF(L6*(1/(E6+J6))*M6=0,"N/A",L6*(1/(E6+J6))*M6)</f>
        <v>N/A</v>
      </c>
      <c r="R6" s="3">
        <f>G6*J6 * 1/(E6+J6)</f>
        <v>1999.9999999999998</v>
      </c>
      <c r="S6" s="3">
        <f>F6*(1/(E6+J6))</f>
        <v>0</v>
      </c>
      <c r="T6" s="4" t="str">
        <f t="shared" si="0"/>
        <v>INF</v>
      </c>
    </row>
    <row r="7" spans="1:23" x14ac:dyDescent="0.25">
      <c r="A7" s="1" t="s">
        <v>16</v>
      </c>
      <c r="B7" s="3">
        <v>4200</v>
      </c>
      <c r="C7" s="3">
        <v>6000</v>
      </c>
      <c r="D7" s="3">
        <v>900</v>
      </c>
      <c r="E7" s="2">
        <v>1.8</v>
      </c>
      <c r="F7" s="3">
        <v>180</v>
      </c>
      <c r="G7" s="3">
        <v>800</v>
      </c>
      <c r="H7" s="3">
        <v>0</v>
      </c>
      <c r="I7" s="3">
        <v>0</v>
      </c>
      <c r="J7" s="2">
        <v>0</v>
      </c>
      <c r="K7" s="3">
        <v>0</v>
      </c>
      <c r="L7" s="3">
        <v>0</v>
      </c>
      <c r="M7" s="3">
        <v>1</v>
      </c>
      <c r="N7" s="3">
        <f>B7*(1/(E7+J7))</f>
        <v>2333.3333333333335</v>
      </c>
      <c r="O7" s="3">
        <f>C7*(1/(E7+J7))</f>
        <v>3333.3333333333335</v>
      </c>
      <c r="P7" s="3" t="str">
        <f>IF(K7*(1/(E7+J7))*M7=0,"N/A",K7*(1/(E7+J7))*M7)</f>
        <v>N/A</v>
      </c>
      <c r="Q7" s="3" t="str">
        <f>IF(L7*(1/(E7+J7))*M7=0,"N/A",L7*(1/(E7+J7))*M7)</f>
        <v>N/A</v>
      </c>
      <c r="R7" s="3">
        <f>G7*(1/(E7+J7))</f>
        <v>444.44444444444446</v>
      </c>
      <c r="S7" s="3">
        <f>F7*(1/(E7+J7))</f>
        <v>100</v>
      </c>
      <c r="T7" s="4">
        <f t="shared" si="0"/>
        <v>1.8</v>
      </c>
    </row>
    <row r="8" spans="1:23" x14ac:dyDescent="0.25">
      <c r="A8" s="1" t="s">
        <v>28</v>
      </c>
      <c r="B8" s="3">
        <v>1000</v>
      </c>
      <c r="C8" s="3">
        <v>1600</v>
      </c>
      <c r="D8" s="3">
        <v>1200</v>
      </c>
      <c r="E8" s="2">
        <v>0.35</v>
      </c>
      <c r="F8" s="3">
        <v>0</v>
      </c>
      <c r="G8" s="3">
        <v>160</v>
      </c>
      <c r="H8" s="3">
        <v>0</v>
      </c>
      <c r="I8" s="3">
        <v>0</v>
      </c>
      <c r="J8" s="2">
        <v>0</v>
      </c>
      <c r="K8" s="3">
        <v>0</v>
      </c>
      <c r="L8" s="3">
        <v>0</v>
      </c>
      <c r="M8" s="3">
        <v>1</v>
      </c>
      <c r="N8" s="3">
        <f>B8*(1/(E8+J8))</f>
        <v>2857.1428571428573</v>
      </c>
      <c r="O8" s="3">
        <f>C8*(1/(E8+J8))</f>
        <v>4571.4285714285716</v>
      </c>
      <c r="P8" s="3" t="str">
        <f>IF(K8*(1/(E8+J8))*M8=0,"N/A",K8*(1/(E8+J8))*M8)</f>
        <v>N/A</v>
      </c>
      <c r="Q8" s="3" t="str">
        <f>IF(L8*(1/(E8+J8))*M8=0,"N/A",L8*(1/(E8+J8))*M8)</f>
        <v>N/A</v>
      </c>
      <c r="R8" s="3">
        <f>G8*(1/(E8+J8))</f>
        <v>457.14285714285717</v>
      </c>
      <c r="S8" s="3">
        <f>F8*(1/(E8+J8))</f>
        <v>0</v>
      </c>
      <c r="T8" s="4" t="str">
        <f t="shared" si="0"/>
        <v>INF</v>
      </c>
    </row>
    <row r="9" spans="1:23" x14ac:dyDescent="0.25">
      <c r="A9" s="1" t="s">
        <v>12</v>
      </c>
      <c r="B9" s="3">
        <v>4000</v>
      </c>
      <c r="C9" s="3">
        <v>7000</v>
      </c>
      <c r="D9" s="3">
        <v>0</v>
      </c>
      <c r="E9" s="2">
        <v>1</v>
      </c>
      <c r="F9" s="3">
        <v>0</v>
      </c>
      <c r="G9" s="3">
        <v>1800</v>
      </c>
      <c r="H9" s="3">
        <v>2500</v>
      </c>
      <c r="I9" s="3">
        <v>0</v>
      </c>
      <c r="J9" s="2">
        <v>0</v>
      </c>
      <c r="K9" s="3">
        <v>0</v>
      </c>
      <c r="L9" s="3">
        <v>0</v>
      </c>
      <c r="M9" s="3">
        <v>0</v>
      </c>
      <c r="N9" s="3">
        <f>B9*(1/(E9+J9))</f>
        <v>4000</v>
      </c>
      <c r="O9" s="3">
        <f>C9*(1/(E9+J9))</f>
        <v>7000</v>
      </c>
      <c r="P9" s="3" t="str">
        <f>IF(K9*(1/(E9+J9))*M9=0,"N/A",K9*(1/(E9+J9))*M9)</f>
        <v>N/A</v>
      </c>
      <c r="Q9" s="3" t="str">
        <f>IF(L9*(1/(E9+J9))*M9=0,"N/A",L9*(1/(E9+J9))*M9)</f>
        <v>N/A</v>
      </c>
      <c r="R9" s="3">
        <f>G9*(1/(E9+J9))</f>
        <v>1800</v>
      </c>
      <c r="S9" s="3">
        <f>F9*(1/(E9+J9))</f>
        <v>0</v>
      </c>
      <c r="T9" s="4" t="str">
        <f t="shared" si="0"/>
        <v>INF</v>
      </c>
    </row>
    <row r="10" spans="1:23" x14ac:dyDescent="0.25">
      <c r="A10" s="1" t="s">
        <v>17</v>
      </c>
      <c r="B10" s="3">
        <v>9000</v>
      </c>
      <c r="C10" s="3">
        <v>10000</v>
      </c>
      <c r="D10" s="3">
        <v>1100</v>
      </c>
      <c r="E10" s="2">
        <v>2</v>
      </c>
      <c r="F10" s="3">
        <v>300</v>
      </c>
      <c r="G10" s="3">
        <v>1500</v>
      </c>
      <c r="H10" s="3">
        <v>0</v>
      </c>
      <c r="I10" s="3">
        <v>0</v>
      </c>
      <c r="J10" s="2">
        <v>0</v>
      </c>
      <c r="K10" s="3">
        <v>0</v>
      </c>
      <c r="L10" s="3">
        <v>0</v>
      </c>
      <c r="M10" s="3">
        <v>1</v>
      </c>
      <c r="N10" s="3">
        <f>B10*(1/(E10+J10))</f>
        <v>4500</v>
      </c>
      <c r="O10" s="3">
        <f>C10*(1/(E10+J10))</f>
        <v>5000</v>
      </c>
      <c r="P10" s="3" t="str">
        <f>IF(K10*(1/(E10+J10))*M10=0,"N/A",K10*(1/(E10+J10))*M10)</f>
        <v>N/A</v>
      </c>
      <c r="Q10" s="3" t="str">
        <f>IF(L10*(1/(E10+J10))*M10=0,"N/A",L10*(1/(E10+J10))*M10)</f>
        <v>N/A</v>
      </c>
      <c r="R10" s="3">
        <f>G10*(1/(E10+J10))</f>
        <v>750</v>
      </c>
      <c r="S10" s="3">
        <f>F10*(1/(E10+J10))</f>
        <v>150</v>
      </c>
      <c r="T10" s="4">
        <f t="shared" si="0"/>
        <v>1.2</v>
      </c>
    </row>
    <row r="11" spans="1:23" x14ac:dyDescent="0.25">
      <c r="A11" s="1" t="s">
        <v>36</v>
      </c>
      <c r="B11" s="3">
        <v>5000</v>
      </c>
      <c r="C11" s="3">
        <v>8000</v>
      </c>
      <c r="D11" s="3">
        <v>0</v>
      </c>
      <c r="E11" s="2">
        <v>1</v>
      </c>
      <c r="F11" s="3">
        <v>0</v>
      </c>
      <c r="G11" s="3">
        <v>2000</v>
      </c>
      <c r="H11" s="3">
        <v>2500</v>
      </c>
      <c r="I11" s="3">
        <v>0</v>
      </c>
      <c r="J11" s="2">
        <v>0</v>
      </c>
      <c r="K11" s="3">
        <v>0</v>
      </c>
      <c r="L11" s="3">
        <v>0</v>
      </c>
      <c r="M11" s="3">
        <v>0</v>
      </c>
      <c r="N11" s="3">
        <f>B11*(1/(E11+J11))</f>
        <v>5000</v>
      </c>
      <c r="O11" s="3">
        <f>C11*(1/(E11+J11))</f>
        <v>8000</v>
      </c>
      <c r="P11" s="3" t="str">
        <f>IF(K11*(1/(E11+J11))*M11=0,"N/A",K11*(1/(E11+J11))*M11)</f>
        <v>N/A</v>
      </c>
      <c r="Q11" s="3" t="str">
        <f>IF(L11*(1/(E11+J11))*M11=0,"N/A",L11*(1/(E11+J11))*M11)</f>
        <v>N/A</v>
      </c>
      <c r="R11" s="3">
        <f>G11*(1/(E11+J11))</f>
        <v>2000</v>
      </c>
      <c r="S11" s="3">
        <f>F11*(1/(E11+J11))</f>
        <v>0</v>
      </c>
      <c r="T11" s="4" t="str">
        <f t="shared" si="0"/>
        <v>INF</v>
      </c>
    </row>
    <row r="12" spans="1:23" x14ac:dyDescent="0.25">
      <c r="A12" s="1" t="s">
        <v>18</v>
      </c>
      <c r="B12" s="3">
        <v>5000</v>
      </c>
      <c r="C12" s="3">
        <v>5000</v>
      </c>
      <c r="D12" s="3">
        <v>5000</v>
      </c>
      <c r="E12" s="2">
        <v>1</v>
      </c>
      <c r="F12" s="3">
        <v>200</v>
      </c>
      <c r="G12" s="3">
        <v>1000</v>
      </c>
      <c r="H12" s="3">
        <v>0</v>
      </c>
      <c r="I12" s="3">
        <v>0</v>
      </c>
      <c r="J12" s="2">
        <v>0</v>
      </c>
      <c r="K12" s="3">
        <v>0</v>
      </c>
      <c r="L12" s="3">
        <v>0</v>
      </c>
      <c r="M12" s="3">
        <v>1</v>
      </c>
      <c r="N12" s="3">
        <f>B12*(1/(E12+J12))</f>
        <v>5000</v>
      </c>
      <c r="O12" s="3">
        <f>C12*(1/(E12+J12))</f>
        <v>5000</v>
      </c>
      <c r="P12" s="3" t="str">
        <f>IF(K12*(1/(E12+J12))*M12=0,"N/A",K12*(1/(E12+J12))*M12)</f>
        <v>N/A</v>
      </c>
      <c r="Q12" s="3" t="str">
        <f>IF(L12*(1/(E12+J12))*M12=0,"N/A",L12*(1/(E12+J12))*M12)</f>
        <v>N/A</v>
      </c>
      <c r="R12" s="3">
        <f>G12*(1/(E12+J12))</f>
        <v>1000</v>
      </c>
      <c r="S12" s="3">
        <f>F12*(1/(E12+J12))</f>
        <v>200</v>
      </c>
      <c r="T12" s="4">
        <f t="shared" si="0"/>
        <v>0.9</v>
      </c>
    </row>
    <row r="13" spans="1:23" x14ac:dyDescent="0.25">
      <c r="A13" s="1" t="s">
        <v>31</v>
      </c>
      <c r="B13" s="3">
        <v>2000</v>
      </c>
      <c r="C13" s="3">
        <v>1500</v>
      </c>
      <c r="D13" s="3">
        <v>1000</v>
      </c>
      <c r="E13" s="2">
        <v>0.35</v>
      </c>
      <c r="F13" s="3">
        <v>100</v>
      </c>
      <c r="G13" s="3">
        <v>240</v>
      </c>
      <c r="H13" s="3">
        <v>0</v>
      </c>
      <c r="I13" s="3">
        <v>0</v>
      </c>
      <c r="J13" s="2">
        <v>0</v>
      </c>
      <c r="K13" s="3">
        <v>50</v>
      </c>
      <c r="L13" s="3">
        <v>30</v>
      </c>
      <c r="M13" s="3">
        <v>32</v>
      </c>
      <c r="N13" s="3">
        <f>B13*(1/(E13+J13))</f>
        <v>5714.2857142857147</v>
      </c>
      <c r="O13" s="3">
        <f>C13*(1/(E13+J13))</f>
        <v>4285.7142857142862</v>
      </c>
      <c r="P13" s="3">
        <f>IF(K13*(1/(E13+J13))*M13=0,"N/A",K13*(1/(E13+J13))*M13)</f>
        <v>4571.4285714285716</v>
      </c>
      <c r="Q13" s="3">
        <f>IF(L13*(1/(E13+J13))*M13=0,"N/A",L13*(1/(E13+J13))*M13)</f>
        <v>2742.8571428571431</v>
      </c>
      <c r="R13" s="3">
        <f>G13*(1/(E13+J13))</f>
        <v>685.71428571428578</v>
      </c>
      <c r="S13" s="3">
        <f>F13*(1/(E13+J13))</f>
        <v>285.71428571428572</v>
      </c>
      <c r="T13" s="4">
        <f t="shared" si="0"/>
        <v>0.63</v>
      </c>
    </row>
    <row r="14" spans="1:23" x14ac:dyDescent="0.25">
      <c r="A14" s="1" t="s">
        <v>13</v>
      </c>
      <c r="B14" s="3">
        <v>6000</v>
      </c>
      <c r="C14" s="3">
        <v>9000</v>
      </c>
      <c r="D14" s="3">
        <v>0</v>
      </c>
      <c r="E14" s="2">
        <v>1</v>
      </c>
      <c r="F14" s="3">
        <v>0</v>
      </c>
      <c r="G14" s="3">
        <v>2000</v>
      </c>
      <c r="H14" s="3">
        <v>2500</v>
      </c>
      <c r="I14" s="3">
        <v>0</v>
      </c>
      <c r="J14" s="2">
        <v>0</v>
      </c>
      <c r="K14" s="3">
        <v>0</v>
      </c>
      <c r="L14" s="3">
        <v>0</v>
      </c>
      <c r="M14" s="3">
        <v>0</v>
      </c>
      <c r="N14" s="3">
        <f>B14*(1/(E14+J14))</f>
        <v>6000</v>
      </c>
      <c r="O14" s="3">
        <f>C14*(1/(E14+J14))</f>
        <v>9000</v>
      </c>
      <c r="P14" s="3" t="str">
        <f>IF(K14*(1/(E14+J14))*M14=0,"N/A",K14*(1/(E14+J14))*M14)</f>
        <v>N/A</v>
      </c>
      <c r="Q14" s="3" t="str">
        <f>IF(L14*(1/(E14+J14))*M14=0,"N/A",L14*(1/(E14+J14))*M14)</f>
        <v>N/A</v>
      </c>
      <c r="R14" s="3">
        <f>G14*(1/(E14+J14))</f>
        <v>2000</v>
      </c>
      <c r="S14" s="3">
        <f>F14*(1/(E14+J14))</f>
        <v>0</v>
      </c>
      <c r="T14" s="4" t="str">
        <f t="shared" si="0"/>
        <v>INF</v>
      </c>
    </row>
    <row r="15" spans="1:23" x14ac:dyDescent="0.25">
      <c r="A15" s="1" t="s">
        <v>32</v>
      </c>
      <c r="B15" s="3">
        <v>3000</v>
      </c>
      <c r="C15" s="3">
        <v>2000</v>
      </c>
      <c r="D15" s="3">
        <v>1200</v>
      </c>
      <c r="E15" s="2">
        <v>0.45</v>
      </c>
      <c r="F15" s="3">
        <v>200</v>
      </c>
      <c r="G15" s="3">
        <v>320</v>
      </c>
      <c r="H15" s="3">
        <v>0</v>
      </c>
      <c r="I15" s="3">
        <v>0</v>
      </c>
      <c r="J15" s="2">
        <v>0</v>
      </c>
      <c r="K15" s="3">
        <v>80</v>
      </c>
      <c r="L15" s="3">
        <v>60</v>
      </c>
      <c r="M15" s="3">
        <v>32</v>
      </c>
      <c r="N15" s="3">
        <f>B15*(1/(E15+J15))</f>
        <v>6666.666666666667</v>
      </c>
      <c r="O15" s="3">
        <f>C15*(1/(E15+J15))</f>
        <v>4444.4444444444443</v>
      </c>
      <c r="P15" s="3">
        <f>IF(K15*(1/(E15+J15))*M15=0,"N/A",K15*(1/(E15+J15))*M15)</f>
        <v>5688.8888888888887</v>
      </c>
      <c r="Q15" s="3">
        <f>IF(L15*(1/(E15+J15))*M15=0,"N/A",L15*(1/(E15+J15))*M15)</f>
        <v>4266.666666666667</v>
      </c>
      <c r="R15" s="3">
        <f>G15*(1/(E15+J15))</f>
        <v>711.11111111111109</v>
      </c>
      <c r="S15" s="3">
        <f>F15*(1/(E15+J15))</f>
        <v>444.44444444444446</v>
      </c>
      <c r="T15" s="4">
        <f t="shared" si="0"/>
        <v>0.40500000000000003</v>
      </c>
    </row>
    <row r="16" spans="1:23" x14ac:dyDescent="0.25">
      <c r="A16" s="1" t="s">
        <v>35</v>
      </c>
      <c r="B16" s="3">
        <v>7000</v>
      </c>
      <c r="C16" s="3">
        <v>10000</v>
      </c>
      <c r="D16" s="3">
        <v>0</v>
      </c>
      <c r="E16" s="2">
        <v>1</v>
      </c>
      <c r="F16" s="3">
        <v>0</v>
      </c>
      <c r="G16" s="3">
        <v>2500</v>
      </c>
      <c r="H16" s="3">
        <v>3000</v>
      </c>
      <c r="I16" s="3">
        <v>0</v>
      </c>
      <c r="J16" s="2">
        <v>0</v>
      </c>
      <c r="K16" s="3">
        <v>0</v>
      </c>
      <c r="L16" s="3">
        <v>0</v>
      </c>
      <c r="M16" s="3">
        <v>0</v>
      </c>
      <c r="N16" s="3">
        <f>B16*(1/(E16+J16))</f>
        <v>7000</v>
      </c>
      <c r="O16" s="3">
        <f>C16*(1/(E16+J16))</f>
        <v>10000</v>
      </c>
      <c r="P16" s="3" t="str">
        <f>IF(K16*(1/(E16+J16))*M16=0,"N/A",K16*(1/(E16+J16))*M16)</f>
        <v>N/A</v>
      </c>
      <c r="Q16" s="3" t="str">
        <f>IF(L16*(1/(E16+J16))*M16=0,"N/A",L16*(1/(E16+J16))*M16)</f>
        <v>N/A</v>
      </c>
      <c r="R16" s="3">
        <f>G16*(1/(E16+J16))</f>
        <v>2500</v>
      </c>
      <c r="S16" s="3">
        <f>F16*(1/(E16+J16))</f>
        <v>0</v>
      </c>
      <c r="T16" s="4" t="str">
        <f t="shared" si="0"/>
        <v>INF</v>
      </c>
    </row>
    <row r="17" spans="1:20" x14ac:dyDescent="0.25">
      <c r="A17" s="1" t="s">
        <v>34</v>
      </c>
      <c r="B17" s="3">
        <v>800</v>
      </c>
      <c r="C17" s="3">
        <v>600</v>
      </c>
      <c r="D17" s="3">
        <v>1500</v>
      </c>
      <c r="E17" s="2">
        <v>0.1</v>
      </c>
      <c r="F17" s="3">
        <v>30</v>
      </c>
      <c r="G17" s="3">
        <v>50</v>
      </c>
      <c r="H17" s="3">
        <v>0</v>
      </c>
      <c r="I17" s="3">
        <v>0</v>
      </c>
      <c r="J17" s="2">
        <v>0</v>
      </c>
      <c r="K17" s="3">
        <v>0</v>
      </c>
      <c r="L17" s="3">
        <v>0</v>
      </c>
      <c r="M17" s="3">
        <v>1</v>
      </c>
      <c r="N17" s="3">
        <f>B17*(1/(E17+J17))</f>
        <v>8000</v>
      </c>
      <c r="O17" s="3">
        <f>C17*(1/(E17+J17))</f>
        <v>6000</v>
      </c>
      <c r="P17" s="3" t="str">
        <f>IF(K17*(1/(E17+J17))*M17=0,"N/A",K17*(1/(E17+J17))*M17)</f>
        <v>N/A</v>
      </c>
      <c r="Q17" s="3" t="str">
        <f>IF(L17*(1/(E17+J17))*M17=0,"N/A",L17*(1/(E17+J17))*M17)</f>
        <v>N/A</v>
      </c>
      <c r="R17" s="3">
        <f>G17*(1/(E17+J17))</f>
        <v>500</v>
      </c>
      <c r="S17" s="3">
        <f>F17*(1/(E17+J17))</f>
        <v>300</v>
      </c>
      <c r="T17" s="4">
        <f t="shared" si="0"/>
        <v>0.6</v>
      </c>
    </row>
    <row r="18" spans="1:20" x14ac:dyDescent="0.25">
      <c r="A18" s="1" t="s">
        <v>33</v>
      </c>
      <c r="B18" s="3">
        <v>1200</v>
      </c>
      <c r="C18" s="3">
        <v>800</v>
      </c>
      <c r="D18" s="3">
        <v>1500</v>
      </c>
      <c r="E18" s="2">
        <v>0.15</v>
      </c>
      <c r="F18" s="3">
        <v>60</v>
      </c>
      <c r="G18" s="3">
        <v>100</v>
      </c>
      <c r="H18" s="3">
        <v>0</v>
      </c>
      <c r="I18" s="3">
        <v>0</v>
      </c>
      <c r="J18" s="2">
        <v>0</v>
      </c>
      <c r="K18" s="3">
        <v>0</v>
      </c>
      <c r="L18" s="3">
        <v>0</v>
      </c>
      <c r="M18" s="3">
        <v>1</v>
      </c>
      <c r="N18" s="3">
        <f>B18*(1/(E18+J18))</f>
        <v>8000</v>
      </c>
      <c r="O18" s="3">
        <f>C18*(1/(E18+J18))</f>
        <v>5333.3333333333339</v>
      </c>
      <c r="P18" s="3" t="str">
        <f>IF(K18*(1/(E18+J18))*M18=0,"N/A",K18*(1/(E18+J18))*M18)</f>
        <v>N/A</v>
      </c>
      <c r="Q18" s="3" t="str">
        <f>IF(L18*(1/(E18+J18))*M18=0,"N/A",L18*(1/(E18+J18))*M18)</f>
        <v>N/A</v>
      </c>
      <c r="R18" s="3">
        <f>G18*(1/(E18+J18))</f>
        <v>666.66666666666674</v>
      </c>
      <c r="S18" s="3">
        <f>F18*(1/(E18+J18))</f>
        <v>400</v>
      </c>
      <c r="T18" s="4">
        <f t="shared" si="0"/>
        <v>0.45</v>
      </c>
    </row>
    <row r="19" spans="1:20" x14ac:dyDescent="0.25">
      <c r="A19" s="1" t="s">
        <v>10</v>
      </c>
      <c r="B19" s="3">
        <v>5000</v>
      </c>
      <c r="C19" s="3">
        <v>3000</v>
      </c>
      <c r="D19" s="3">
        <v>1500</v>
      </c>
      <c r="E19" s="2">
        <v>0.5</v>
      </c>
      <c r="F19" s="3">
        <v>100</v>
      </c>
      <c r="G19" s="3">
        <v>500</v>
      </c>
      <c r="H19" s="3">
        <v>0</v>
      </c>
      <c r="I19" s="3">
        <v>0</v>
      </c>
      <c r="J19" s="2">
        <v>0</v>
      </c>
      <c r="K19" s="3">
        <v>0</v>
      </c>
      <c r="L19" s="3">
        <v>0</v>
      </c>
      <c r="M19" s="3">
        <v>0</v>
      </c>
      <c r="N19" s="3">
        <f>B19*(1/(E19+J19))</f>
        <v>10000</v>
      </c>
      <c r="O19" s="3">
        <f>C19*(1/(E19+J19))</f>
        <v>6000</v>
      </c>
      <c r="P19" s="3" t="str">
        <f>IF(K19*(1/(E19+J19))*M19=0,"N/A",K19*(1/(E19+J19))*M19)</f>
        <v>N/A</v>
      </c>
      <c r="Q19" s="3" t="str">
        <f>IF(L19*(1/(E19+J19))*M19=0,"N/A",L19*(1/(E19+J19))*M19)</f>
        <v>N/A</v>
      </c>
      <c r="R19" s="3">
        <f>G19*(1/(E19+J19))</f>
        <v>1000</v>
      </c>
      <c r="S19" s="3">
        <f>F19*(1/(E19+J19))</f>
        <v>200</v>
      </c>
      <c r="T19" s="4">
        <f t="shared" si="0"/>
        <v>0.9</v>
      </c>
    </row>
    <row r="20" spans="1:20" x14ac:dyDescent="0.25">
      <c r="A20" s="1" t="s">
        <v>11</v>
      </c>
      <c r="B20" s="3">
        <v>10000</v>
      </c>
      <c r="C20" s="3">
        <v>4500</v>
      </c>
      <c r="D20" s="3">
        <v>1500</v>
      </c>
      <c r="E20" s="2">
        <v>0.8</v>
      </c>
      <c r="F20" s="3">
        <v>200</v>
      </c>
      <c r="G20" s="3">
        <v>800</v>
      </c>
      <c r="H20" s="3">
        <v>0</v>
      </c>
      <c r="I20" s="3">
        <v>0</v>
      </c>
      <c r="J20" s="2">
        <v>0</v>
      </c>
      <c r="K20" s="3">
        <v>0</v>
      </c>
      <c r="L20" s="3">
        <v>0</v>
      </c>
      <c r="M20" s="3">
        <v>0</v>
      </c>
      <c r="N20" s="3">
        <f>B20*(1/(E20+J20))</f>
        <v>12500</v>
      </c>
      <c r="O20" s="3">
        <f>C20*(1/(E20+J20))</f>
        <v>5625</v>
      </c>
      <c r="P20" s="3" t="str">
        <f>IF(K20*(1/(E20+J20))*M20=0,"N/A",K20*(1/(E20+J20))*M20)</f>
        <v>N/A</v>
      </c>
      <c r="Q20" s="3" t="str">
        <f>IF(L20*(1/(E20+J20))*M20=0,"N/A",L20*(1/(E20+J20))*M20)</f>
        <v>N/A</v>
      </c>
      <c r="R20" s="3">
        <f>G20*(1/(E20+J20))</f>
        <v>1000</v>
      </c>
      <c r="S20" s="3">
        <f>F20*(1/(E20+J20))</f>
        <v>250</v>
      </c>
      <c r="T20" s="4">
        <f t="shared" si="0"/>
        <v>0.72000000000000008</v>
      </c>
    </row>
    <row r="21" spans="1:20" x14ac:dyDescent="0.25">
      <c r="A21" s="1" t="s">
        <v>19</v>
      </c>
      <c r="B21" s="3">
        <v>20000</v>
      </c>
      <c r="C21" s="3">
        <v>15000</v>
      </c>
      <c r="D21" s="3">
        <v>5000</v>
      </c>
      <c r="E21" s="2">
        <v>1.5</v>
      </c>
      <c r="F21" s="3">
        <v>400</v>
      </c>
      <c r="G21" s="3">
        <v>2000</v>
      </c>
      <c r="H21" s="3">
        <v>0</v>
      </c>
      <c r="I21" s="3">
        <v>0</v>
      </c>
      <c r="J21" s="2">
        <v>0</v>
      </c>
      <c r="K21" s="3">
        <v>0</v>
      </c>
      <c r="L21" s="3">
        <v>0</v>
      </c>
      <c r="M21" s="3">
        <v>1</v>
      </c>
      <c r="N21" s="3">
        <f>B21*(1/(E21+J21))</f>
        <v>13333.333333333332</v>
      </c>
      <c r="O21" s="3">
        <f>C21*(1/(E21+J21))</f>
        <v>10000</v>
      </c>
      <c r="P21" s="3" t="str">
        <f>IF(K21*(1/(E21+J21))*M21=0,"N/A",K21*(1/(E21+J21))*M21)</f>
        <v>N/A</v>
      </c>
      <c r="Q21" s="3" t="str">
        <f>IF(L21*(1/(E21+J21))*M21=0,"N/A",L21*(1/(E21+J21))*M21)</f>
        <v>N/A</v>
      </c>
      <c r="R21" s="3">
        <f>G21*(1/(E21+J21))</f>
        <v>1333.3333333333333</v>
      </c>
      <c r="S21" s="3">
        <f>F21*(1/(E21+J21))</f>
        <v>266.66666666666663</v>
      </c>
      <c r="T21" s="4">
        <f t="shared" si="0"/>
        <v>0.67500000000000016</v>
      </c>
    </row>
    <row r="24" spans="1:20" x14ac:dyDescent="0.25">
      <c r="A24" s="1" t="s">
        <v>40</v>
      </c>
      <c r="B24" s="1" t="s">
        <v>41</v>
      </c>
      <c r="C24" s="1" t="s">
        <v>42</v>
      </c>
      <c r="D24" s="1" t="s">
        <v>43</v>
      </c>
      <c r="E24" s="1" t="s">
        <v>44</v>
      </c>
      <c r="F24" s="1" t="s">
        <v>45</v>
      </c>
      <c r="G24" s="1" t="s">
        <v>46</v>
      </c>
      <c r="H24" s="1" t="s">
        <v>47</v>
      </c>
      <c r="I24" s="1" t="s">
        <v>48</v>
      </c>
      <c r="J24" s="1" t="s">
        <v>60</v>
      </c>
    </row>
    <row r="25" spans="1:20" x14ac:dyDescent="0.25">
      <c r="A25" s="1" t="s">
        <v>49</v>
      </c>
      <c r="B25" s="3">
        <v>1000</v>
      </c>
      <c r="C25" s="3">
        <v>100</v>
      </c>
      <c r="D25" s="3">
        <v>1</v>
      </c>
      <c r="E25" s="3">
        <v>10</v>
      </c>
      <c r="F25" s="2">
        <v>0.08</v>
      </c>
      <c r="G25" s="2">
        <v>15</v>
      </c>
      <c r="H25" s="2">
        <v>100</v>
      </c>
      <c r="I25" s="5">
        <f>B25/C25*F25</f>
        <v>0.8</v>
      </c>
      <c r="J25" s="2">
        <f>B25/C25*G25</f>
        <v>150</v>
      </c>
    </row>
    <row r="26" spans="1:20" x14ac:dyDescent="0.25">
      <c r="A26" s="1" t="s">
        <v>50</v>
      </c>
      <c r="B26" s="3">
        <f>5*B25</f>
        <v>5000</v>
      </c>
      <c r="C26" s="3">
        <v>300</v>
      </c>
      <c r="D26" s="3">
        <v>3</v>
      </c>
      <c r="E26" s="3">
        <v>15</v>
      </c>
      <c r="F26" s="2">
        <v>0.15</v>
      </c>
      <c r="G26" s="2">
        <v>30</v>
      </c>
      <c r="H26" s="2">
        <v>200</v>
      </c>
      <c r="I26" s="5">
        <f t="shared" ref="I26:I32" si="1">B26/C26*F26</f>
        <v>2.5</v>
      </c>
      <c r="J26" s="2">
        <f t="shared" ref="J26:J32" si="2">B26/C26*G26</f>
        <v>500.00000000000006</v>
      </c>
    </row>
    <row r="27" spans="1:20" x14ac:dyDescent="0.25">
      <c r="A27" s="1" t="s">
        <v>51</v>
      </c>
      <c r="B27" s="3">
        <f>2*B26</f>
        <v>10000</v>
      </c>
      <c r="C27" s="3">
        <v>500</v>
      </c>
      <c r="D27" s="3">
        <v>5</v>
      </c>
      <c r="E27" s="3">
        <v>20</v>
      </c>
      <c r="F27" s="2">
        <v>0.3</v>
      </c>
      <c r="G27" s="2">
        <v>60</v>
      </c>
      <c r="H27" s="2">
        <v>400</v>
      </c>
      <c r="I27" s="5">
        <f t="shared" si="1"/>
        <v>6</v>
      </c>
      <c r="J27" s="2">
        <f t="shared" si="2"/>
        <v>1200</v>
      </c>
    </row>
    <row r="28" spans="1:20" x14ac:dyDescent="0.25">
      <c r="A28" s="1" t="s">
        <v>52</v>
      </c>
      <c r="B28" s="3">
        <f>2*B27</f>
        <v>20000</v>
      </c>
      <c r="C28" s="3">
        <v>1000</v>
      </c>
      <c r="D28" s="3">
        <v>7</v>
      </c>
      <c r="E28" s="3">
        <v>25</v>
      </c>
      <c r="F28" s="2">
        <v>0.5</v>
      </c>
      <c r="G28" s="2">
        <v>120</v>
      </c>
      <c r="H28" s="2">
        <v>800</v>
      </c>
      <c r="I28" s="5">
        <f t="shared" si="1"/>
        <v>10</v>
      </c>
      <c r="J28" s="2">
        <f t="shared" si="2"/>
        <v>2400</v>
      </c>
    </row>
    <row r="29" spans="1:20" x14ac:dyDescent="0.25">
      <c r="A29" s="1" t="s">
        <v>53</v>
      </c>
      <c r="B29" s="3">
        <v>2500</v>
      </c>
      <c r="C29" s="3">
        <v>300</v>
      </c>
      <c r="D29" s="3">
        <v>2</v>
      </c>
      <c r="E29" s="3">
        <v>15</v>
      </c>
      <c r="F29" s="2">
        <v>0.5</v>
      </c>
      <c r="G29" s="3">
        <v>30</v>
      </c>
      <c r="H29" s="3">
        <v>200</v>
      </c>
      <c r="I29" s="5">
        <f t="shared" si="1"/>
        <v>4.166666666666667</v>
      </c>
      <c r="J29" s="2">
        <f t="shared" si="2"/>
        <v>250.00000000000003</v>
      </c>
    </row>
    <row r="30" spans="1:20" x14ac:dyDescent="0.25">
      <c r="A30" s="1" t="s">
        <v>54</v>
      </c>
      <c r="B30" s="3">
        <f>B29*5</f>
        <v>12500</v>
      </c>
      <c r="C30" s="3"/>
      <c r="D30" s="3"/>
      <c r="E30" s="3"/>
      <c r="F30" s="2"/>
      <c r="G30" s="3"/>
      <c r="H30" s="3"/>
      <c r="I30" s="5" t="e">
        <f t="shared" si="1"/>
        <v>#DIV/0!</v>
      </c>
      <c r="J30" s="2" t="e">
        <f t="shared" si="2"/>
        <v>#DIV/0!</v>
      </c>
    </row>
    <row r="31" spans="1:20" x14ac:dyDescent="0.25">
      <c r="A31" s="1" t="s">
        <v>55</v>
      </c>
      <c r="B31" s="3">
        <f>B30*2</f>
        <v>25000</v>
      </c>
      <c r="C31" s="3"/>
      <c r="D31" s="3"/>
      <c r="E31" s="3"/>
      <c r="F31" s="2"/>
      <c r="G31" s="3"/>
      <c r="H31" s="3"/>
      <c r="I31" s="5" t="e">
        <f t="shared" si="1"/>
        <v>#DIV/0!</v>
      </c>
      <c r="J31" s="2" t="e">
        <f t="shared" si="2"/>
        <v>#DIV/0!</v>
      </c>
    </row>
    <row r="32" spans="1:20" x14ac:dyDescent="0.25">
      <c r="A32" s="1" t="s">
        <v>56</v>
      </c>
      <c r="B32" s="3">
        <f>B31*2</f>
        <v>50000</v>
      </c>
      <c r="C32" s="3"/>
      <c r="D32" s="3"/>
      <c r="E32" s="3"/>
      <c r="F32" s="2"/>
      <c r="G32" s="3"/>
      <c r="H32" s="3"/>
      <c r="I32" s="5" t="e">
        <f t="shared" si="1"/>
        <v>#DIV/0!</v>
      </c>
      <c r="J32" s="2" t="e">
        <f t="shared" si="2"/>
        <v>#DIV/0!</v>
      </c>
    </row>
  </sheetData>
  <autoFilter ref="A1:S21" xr:uid="{7F792791-92EF-4F0F-8FA6-03864FE89AC9}">
    <sortState xmlns:xlrd2="http://schemas.microsoft.com/office/spreadsheetml/2017/richdata2" ref="A2:S21">
      <sortCondition ref="N1:N21"/>
    </sortState>
  </autoFilter>
  <phoneticPr fontId="1" type="noConversion"/>
  <conditionalFormatting sqref="B2:B21">
    <cfRule type="colorScale" priority="15">
      <colorScale>
        <cfvo type="min"/>
        <cfvo type="max"/>
        <color rgb="FFFCFCFF"/>
        <color theme="5"/>
      </colorScale>
    </cfRule>
  </conditionalFormatting>
  <conditionalFormatting sqref="C2:C21">
    <cfRule type="colorScale" priority="14">
      <colorScale>
        <cfvo type="min"/>
        <cfvo type="max"/>
        <color rgb="FFFCFCFF"/>
        <color theme="3" tint="0.499984740745262"/>
      </colorScale>
    </cfRule>
  </conditionalFormatting>
  <conditionalFormatting sqref="D2:D21">
    <cfRule type="colorScale" priority="13">
      <colorScale>
        <cfvo type="min"/>
        <cfvo type="max"/>
        <color rgb="FFFCFCFF"/>
        <color rgb="FF63BE7B"/>
      </colorScale>
    </cfRule>
  </conditionalFormatting>
  <conditionalFormatting sqref="E2:E21">
    <cfRule type="colorScale" priority="12">
      <colorScale>
        <cfvo type="min"/>
        <cfvo type="max"/>
        <color rgb="FFFCFCFF"/>
        <color rgb="FFF8696B"/>
      </colorScale>
    </cfRule>
  </conditionalFormatting>
  <conditionalFormatting sqref="F2:F21">
    <cfRule type="colorScale" priority="11">
      <colorScale>
        <cfvo type="min"/>
        <cfvo type="max"/>
        <color rgb="FFFCFCFF"/>
        <color rgb="FFF8696B"/>
      </colorScale>
    </cfRule>
  </conditionalFormatting>
  <conditionalFormatting sqref="G2:G21">
    <cfRule type="colorScale" priority="10">
      <colorScale>
        <cfvo type="min"/>
        <cfvo type="max"/>
        <color rgb="FFFCFCFF"/>
        <color rgb="FFF8696B"/>
      </colorScale>
    </cfRule>
  </conditionalFormatting>
  <conditionalFormatting sqref="H2:H21">
    <cfRule type="colorScale" priority="8">
      <colorScale>
        <cfvo type="min"/>
        <cfvo type="max"/>
        <color rgb="FFFCFCFF"/>
        <color rgb="FF63BE7B"/>
      </colorScale>
    </cfRule>
  </conditionalFormatting>
  <conditionalFormatting sqref="N2:N21 P16:Q21 P2:P2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:N21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21 Q2:Q2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21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:R2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:S2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:T2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Zoe McFife</dc:creator>
  <cp:lastModifiedBy>Zoe McFife</cp:lastModifiedBy>
  <dcterms:created xsi:type="dcterms:W3CDTF">2026-07-22T09:29:17Z</dcterms:created>
  <dcterms:modified xsi:type="dcterms:W3CDTF">2026-07-28T08:57:13Z</dcterms:modified>
</cp:coreProperties>
</file>